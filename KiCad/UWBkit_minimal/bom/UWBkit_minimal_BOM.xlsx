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_repos\UWBkit\KiCad\UWBkit_minimal\bom\"/>
    </mc:Choice>
  </mc:AlternateContent>
  <xr:revisionPtr revIDLastSave="0" documentId="13_ncr:1_{9155B22B-0ACB-40D6-8E71-803E112BD780}" xr6:coauthVersionLast="47" xr6:coauthVersionMax="47" xr10:uidLastSave="{00000000-0000-0000-0000-000000000000}"/>
  <bookViews>
    <workbookView xWindow="-28800" yWindow="0" windowWidth="28830" windowHeight="15480" xr2:uid="{D3B1A084-BB42-471D-9A91-E5D0DBC0C683}"/>
  </bookViews>
  <sheets>
    <sheet name="UWBkit_minim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</calcChain>
</file>

<file path=xl/sharedStrings.xml><?xml version="1.0" encoding="utf-8"?>
<sst xmlns="http://schemas.openxmlformats.org/spreadsheetml/2006/main" count="129" uniqueCount="114">
  <si>
    <t>Reference</t>
  </si>
  <si>
    <t>Qty</t>
  </si>
  <si>
    <t>Value</t>
  </si>
  <si>
    <t>Footprint</t>
  </si>
  <si>
    <t>Mouser link</t>
  </si>
  <si>
    <t>BT1</t>
  </si>
  <si>
    <t>CR2032</t>
  </si>
  <si>
    <t>Battery:BatteryHolder_Keystone_1058_1x2032</t>
  </si>
  <si>
    <t>https://cz.mouser.com/ProductDetail/Keystone-Electronics/1058?qs=1Og3oR3ILyCdlFdchHwycQ%3D%3D</t>
  </si>
  <si>
    <t>C1,C3,C4</t>
  </si>
  <si>
    <t>100n</t>
  </si>
  <si>
    <t>Capacitor_SMD:C_0603_1608Metric</t>
  </si>
  <si>
    <t>https://cz.mouser.com/ProductDetail/YAGEO/CC0603JRX7R9BB104?qs=57cj7OiSijmjSM%252BQadQODQ%3D%3D</t>
  </si>
  <si>
    <t>C2</t>
  </si>
  <si>
    <t>10u</t>
  </si>
  <si>
    <t>Capacitor_Tantalum_SMD:CP_EIA-3216-18_Kemet-A</t>
  </si>
  <si>
    <t>https://cz.mouser.com/ProductDetail/KEMET/T491A106K010AT7280?qs=sGAEpiMZZMtZ1n0r9vR22Xj1zlb9nzH05nChlkMPHIM%3D</t>
  </si>
  <si>
    <t>C5,C6</t>
  </si>
  <si>
    <t>D1</t>
  </si>
  <si>
    <t>G</t>
  </si>
  <si>
    <t>LED_SMD:LED_0603_1608Metric</t>
  </si>
  <si>
    <t>https://cz.mouser.com/ProductDetail/Wurth-Elektronik/150060GS83000?qs=3GbUB62Nf7fgC6%2FTmce6tQ%3D%3D</t>
  </si>
  <si>
    <t>D2</t>
  </si>
  <si>
    <t>B</t>
  </si>
  <si>
    <t>https://cz.mouser.com/ProductDetail/Wurth-Elektronik/150060BS83000?qs=3GbUB62Nf7dydBCOIPGfOA%3D%3D</t>
  </si>
  <si>
    <t>D3,D5,D6</t>
  </si>
  <si>
    <t>R</t>
  </si>
  <si>
    <t>https://cz.mouser.com/ProductDetail/Wurth-Elektronik/150060RS83000?qs=3GbUB62Nf7cMzk8OPkCLhg%3D%3D</t>
  </si>
  <si>
    <t>D4</t>
  </si>
  <si>
    <t>LSG T676-P7R-1-0+N7P9-24</t>
  </si>
  <si>
    <t>LED_Dual:LED_Dual_OSRAM-PLCC4_3.2x2.8mm</t>
  </si>
  <si>
    <t>https://cz.mouser.com/ProductDetail/ams-OSRAM/LSG-T676-P7R-1-0%2bN7P9-24?qs=74fRo9GAWsxURNkIJamEtQ%3D%3D</t>
  </si>
  <si>
    <t>D7</t>
  </si>
  <si>
    <t>PESD5V2S2UT</t>
  </si>
  <si>
    <t>Package_TO_SOT_SMD:SOT-23</t>
  </si>
  <si>
    <t>https://cz.mouser.com/ProductDetail/Nexperia/PESD5V2S2UT-QR?qs=vvQtp7zwQdMj81rXubab%2Fw%3D%3D</t>
  </si>
  <si>
    <t>J1</t>
  </si>
  <si>
    <t>Conn_UART</t>
  </si>
  <si>
    <t>Connector_PinSocket_2.54mm:PinSocket_1x04_P2.54mm_Vertical</t>
  </si>
  <si>
    <t>https://cz.mouser.com/ProductDetail/Samtec/SSQ-104-01-G-S?qs=rU5fayqh%252BE3vCiJshtNkaw%3D%3D</t>
  </si>
  <si>
    <t>J2</t>
  </si>
  <si>
    <t>Conn_SWD</t>
  </si>
  <si>
    <t>Connector_PinHeader_1.27mm:PinHeader_2x05_P1.27mm_Vertical_SMD</t>
  </si>
  <si>
    <t>J3</t>
  </si>
  <si>
    <t>USB_C_Receptacle_USB2.0_14P</t>
  </si>
  <si>
    <t>Connector_USB:USB_C_Receptacle_GCT_USB4105-xx-A_16P_TopMnt_Horizontal</t>
  </si>
  <si>
    <t>https://cz.mouser.com/ProductDetail/GCT/USB4105-GF-A?qs=KUoIvG%2F9IlY%2FMLlBMpStpA%3D%3D</t>
  </si>
  <si>
    <t>J4</t>
  </si>
  <si>
    <t>Conn_BATT</t>
  </si>
  <si>
    <t>Connector_PinSocket_2.54mm:PinSocket_1x02_P2.54mm_Vertical</t>
  </si>
  <si>
    <t>https://cz.mouser.com/ProductDetail/Amphenol-FCI/76308-102LF?qs=5xI8GKdkXlk3acvGut782g%3D%3D</t>
  </si>
  <si>
    <t>J5</t>
  </si>
  <si>
    <t>Jumper_Cell_NO</t>
  </si>
  <si>
    <t>Connector_PinHeader_2.54mm:PinHeader_1x02_P2.54mm_Vertical</t>
  </si>
  <si>
    <t>https://cz.mouser.com/ProductDetail/Amphenol-FCI/10129378-910002BLF?qs=0lQeLiL1qyYh8zFHsKDebQ%3D%3D</t>
  </si>
  <si>
    <t>L1</t>
  </si>
  <si>
    <t>2.2u</t>
  </si>
  <si>
    <t>Inductor_SMD:L_0805_2012Metric</t>
  </si>
  <si>
    <t>https://cz.mouser.com/ProductDetail/TDK/MLZ2012M2R2HT000?qs=%2FPzWLGNeQ%252BjH4aKH16QzxA%3D%3D</t>
  </si>
  <si>
    <t>Q1,Q2</t>
  </si>
  <si>
    <t>BSS138</t>
  </si>
  <si>
    <t>https://cz.mouser.com/ProductDetail/onsemi-Fairchild/BSS138?qs=HK%252BeIG1iaahCeqBvjB4arg%3D%3D</t>
  </si>
  <si>
    <t>Q3</t>
  </si>
  <si>
    <t>Package_TO_SOT_SMD:SOT-23-3</t>
  </si>
  <si>
    <t>https://cz.mouser.com/ProductDetail/onsemi-Fairchild/BSS84?qs=FOlmdCx%252BAA0e83h5MpSc0g%3D%3D</t>
  </si>
  <si>
    <t>R1</t>
  </si>
  <si>
    <t>200R</t>
  </si>
  <si>
    <t>Resistor_SMD:R_0603_1608Metric</t>
  </si>
  <si>
    <t>https://cz.mouser.com/ProductDetail/YAGEO/RT0603DRD07200RL?qs=sGAEpiMZZMvdGkrng054t98Xz4DA4UW4tL%2FJ%252BYl4JS0%3D</t>
  </si>
  <si>
    <t>R2</t>
  </si>
  <si>
    <t>30R</t>
  </si>
  <si>
    <t>https://cz.mouser.com/ProductDetail/YAGEO/RT0603DRE0730RL?qs=sGAEpiMZZMvdGkrng054t98Xz4DA4UW4YZV2RawqRNs%3D</t>
  </si>
  <si>
    <t>R3</t>
  </si>
  <si>
    <t>150R</t>
  </si>
  <si>
    <t>https://cz.mouser.com/ProductDetail/YAGEO/AC0603FR-10150RL?qs=sGAEpiMZZMvdGkrng054t7z4BkURc4Lzln2I4OegymmHVI9ZvR4dbw%3D%3D</t>
  </si>
  <si>
    <t>R4</t>
  </si>
  <si>
    <t>330R</t>
  </si>
  <si>
    <t>https://cz.mouser.com/ProductDetail/YAGEO/RE0603FRE07330RL?qs=sGAEpiMZZMvdGkrng054txKsa61JPVaK1hhHAJIvBEnTs5jol0U%252BCA%3D%3D</t>
  </si>
  <si>
    <t>R5</t>
  </si>
  <si>
    <t>220R</t>
  </si>
  <si>
    <t>https://cz.mouser.com/ProductDetail/Vishay/CRCW0603220RFKEC?qs=sGAEpiMZZMvdGkrng054t8tsKUCh5%2FbYPcVDsVQnjSI%3D</t>
  </si>
  <si>
    <t>R6,R9,R15</t>
  </si>
  <si>
    <t>300R</t>
  </si>
  <si>
    <t>https://cz.mouser.com/ProductDetail/Panasonic/ERA-3AEB301V?qs=sGAEpiMZZMvdGkrng054typfXHMoP4iIkbyD7fSWN%2FQ%3D</t>
  </si>
  <si>
    <t>R7,R8</t>
  </si>
  <si>
    <t>5k1</t>
  </si>
  <si>
    <t>https://cz.mouser.com/ProductDetail/Vishay/CRCW06035K10FKEBC?qs=sGAEpiMZZMvdGkrng054t7z4BkURc4Lz%2FG1bGth3rEYWSHBl%252Bnp12g%3D%3D</t>
  </si>
  <si>
    <t>R10,R11</t>
  </si>
  <si>
    <t>1k</t>
  </si>
  <si>
    <t>https://cz.mouser.com/ProductDetail/Vishay-Draloric/RCA06031K00FKEA?qs=sGAEpiMZZMvdGkrng054t4RorV1Ti4DlSoHlJpJPPXw%3D</t>
  </si>
  <si>
    <t>R12,R13,R16</t>
  </si>
  <si>
    <t>100k</t>
  </si>
  <si>
    <t>https://cz.mouser.com/ProductDetail/YAGEO/RT0603BRD07100KL?qs=sGAEpiMZZMvdGkrng054tw0Q0rCXCD%252BwQDmEktc6R9I%3D</t>
  </si>
  <si>
    <t>R14</t>
  </si>
  <si>
    <t>10k</t>
  </si>
  <si>
    <t>https://cz.mouser.com/ProductDetail/YAGEO/RC0603FR-7W10KL?qs=sGAEpiMZZMvdGkrng054t7z4BkURc4LzGoEqlFji1y4lKvwC2GSuGg%3D%3D</t>
  </si>
  <si>
    <t>SW1</t>
  </si>
  <si>
    <t>SW_Push</t>
  </si>
  <si>
    <t>Button_Switch_THT:SW_TH_Tactile_Omron_B3F-106x</t>
  </si>
  <si>
    <t>https://cz.mouser.com/ProductDetail/Omron-Electronics/B3F-1060?qs=sGAEpiMZZMtFyPk3yBMYYF1JtEo7eYpLKZx9qu%252BYPPI%3D</t>
  </si>
  <si>
    <t>U2</t>
  </si>
  <si>
    <t>IP4234CZ6</t>
  </si>
  <si>
    <t>Package_TO_SOT_SMD:SC-74-6_1.55x2.9mm_P0.95mm</t>
  </si>
  <si>
    <t>https://cz.mouser.com/ProductDetail/Nexperia/IP4234CZ6125?qs=sSXnapcmqSskfgXn%2F9aKzA%3D%3D</t>
  </si>
  <si>
    <t>U3</t>
  </si>
  <si>
    <t>MAX40203AUK+T</t>
  </si>
  <si>
    <t>Package_TO_SOT_SMD:SOT-23-5</t>
  </si>
  <si>
    <t>https://cz.mouser.com/ProductDetail/Analog-Devices-Maxim-Integrated/MAX40203AUK%2bT?qs=l7cgNqFNU1j1dlDj29Iz0A%3D%3D</t>
  </si>
  <si>
    <t>U4</t>
  </si>
  <si>
    <t>XC9285B33CMR-G</t>
  </si>
  <si>
    <t>https://cz.mouser.com/ProductDetail/Torex-Semiconductor/XC9285B33CMR-G?qs=dbcCsuKDzFUopNkosMcCjA%3D%3D</t>
  </si>
  <si>
    <t>https://cz.mouser.com/ProductDetail/Murata-Electronics/GRM188Z71A106KA73D?qs=d0WKAl%252BL4KaRM1L%252BaIs%2FqQ%3D%3D</t>
  </si>
  <si>
    <t>BSS84</t>
  </si>
  <si>
    <t>https://cz.mouser.com/ProductDetail/Samtec/SHF-105-01-L-D-SM?qs=92ilVni64gzDB%252BvALG5zyg%3D%3D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</si>
</sst>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78AB-18AB-45D1-A769-CBAF8CA04513}">
  <dimension ref="A1:F32"/>
  <sheetViews>
    <sheetView tabSelected="1" workbookViewId="0">
      <selection activeCell="C10" sqref="C10"/>
    </sheetView>
  </sheetViews>
  <sheetFormatPr defaultRowHeight="15" x14ac:dyDescent="0.25"/>
  <cols>
    <col min="1" max="1" width="11.5703125" bestFit="1" customWidth="1"/>
    <col min="2" max="2" width="11.42578125" customWidth="1"/>
    <col min="3" max="3" width="28.28515625" bestFit="1" customWidth="1"/>
    <col min="4" max="4" width="15.28515625" customWidth="1"/>
    <col min="5" max="5" width="6.42578125" customWidth="1"/>
    <col min="6" max="6" width="13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25">
      <c r="A2" t="s">
        <v>5</v>
      </c>
      <c r="B2">
        <v>1</v>
      </c>
      <c r="C2" t="s">
        <v>6</v>
      </c>
      <c r="D2" t="s">
        <v>7</v>
      </c>
      <c r="E2" t="s">
        <v>8</v>
      </c>
      <c r="F2" s="1" t="str">
        <f>HYPERLINK(E2)</f>
        <v>https://cz.mouser.com/ProductDetail/Keystone-Electronics/1058?qs=1Og3oR3ILyCdlFdchHwycQ%3D%3D</v>
      </c>
    </row>
    <row r="3" spans="1:6" x14ac:dyDescent="0.25">
      <c r="A3" t="s">
        <v>9</v>
      </c>
      <c r="B3">
        <v>3</v>
      </c>
      <c r="C3" t="s">
        <v>10</v>
      </c>
      <c r="D3" t="s">
        <v>11</v>
      </c>
      <c r="E3" t="s">
        <v>12</v>
      </c>
      <c r="F3" s="1" t="str">
        <f>HYPERLINK(E3)</f>
        <v>https://cz.mouser.com/ProductDetail/YAGEO/CC0603JRX7R9BB104?qs=57cj7OiSijmjSM%252BQadQODQ%3D%3D</v>
      </c>
    </row>
    <row r="4" spans="1:6" x14ac:dyDescent="0.25">
      <c r="A4" t="s">
        <v>13</v>
      </c>
      <c r="B4">
        <v>1</v>
      </c>
      <c r="C4" t="s">
        <v>14</v>
      </c>
      <c r="D4" t="s">
        <v>15</v>
      </c>
      <c r="E4" t="s">
        <v>16</v>
      </c>
      <c r="F4" s="1" t="str">
        <f>HYPERLINK(E4)</f>
        <v>https://cz.mouser.com/ProductDetail/KEMET/T491A106K010AT7280?qs=sGAEpiMZZMtZ1n0r9vR22Xj1zlb9nzH05nChlkMPHIM%3D</v>
      </c>
    </row>
    <row r="5" spans="1:6" x14ac:dyDescent="0.25">
      <c r="A5" t="s">
        <v>17</v>
      </c>
      <c r="B5">
        <v>2</v>
      </c>
      <c r="C5" t="s">
        <v>14</v>
      </c>
      <c r="D5" t="s">
        <v>11</v>
      </c>
      <c r="E5" t="s">
        <v>111</v>
      </c>
      <c r="F5" s="1" t="str">
        <f>HYPERLINK(E5)</f>
        <v>https://cz.mouser.com/ProductDetail/Murata-Electronics/GRM188Z71A106KA73D?qs=d0WKAl%252BL4KaRM1L%252BaIs%2FqQ%3D%3D</v>
      </c>
    </row>
    <row r="6" spans="1:6" x14ac:dyDescent="0.25">
      <c r="A6" t="s">
        <v>18</v>
      </c>
      <c r="B6">
        <v>1</v>
      </c>
      <c r="C6" t="s">
        <v>19</v>
      </c>
      <c r="D6" t="s">
        <v>20</v>
      </c>
      <c r="E6" t="s">
        <v>21</v>
      </c>
      <c r="F6" s="1" t="str">
        <f>HYPERLINK(E6)</f>
        <v>https://cz.mouser.com/ProductDetail/Wurth-Elektronik/150060GS83000?qs=3GbUB62Nf7fgC6%2FTmce6tQ%3D%3D</v>
      </c>
    </row>
    <row r="7" spans="1:6" x14ac:dyDescent="0.25">
      <c r="A7" t="s">
        <v>22</v>
      </c>
      <c r="B7">
        <v>1</v>
      </c>
      <c r="C7" t="s">
        <v>23</v>
      </c>
      <c r="D7" t="s">
        <v>20</v>
      </c>
      <c r="E7" t="s">
        <v>24</v>
      </c>
      <c r="F7" s="1" t="str">
        <f>HYPERLINK(E7)</f>
        <v>https://cz.mouser.com/ProductDetail/Wurth-Elektronik/150060BS83000?qs=3GbUB62Nf7dydBCOIPGfOA%3D%3D</v>
      </c>
    </row>
    <row r="8" spans="1:6" x14ac:dyDescent="0.25">
      <c r="A8" t="s">
        <v>25</v>
      </c>
      <c r="B8">
        <v>3</v>
      </c>
      <c r="C8" t="s">
        <v>26</v>
      </c>
      <c r="D8" t="s">
        <v>20</v>
      </c>
      <c r="E8" t="s">
        <v>27</v>
      </c>
      <c r="F8" s="1" t="str">
        <f>HYPERLINK(E8)</f>
        <v>https://cz.mouser.com/ProductDetail/Wurth-Elektronik/150060RS83000?qs=3GbUB62Nf7cMzk8OPkCLhg%3D%3D</v>
      </c>
    </row>
    <row r="9" spans="1:6" x14ac:dyDescent="0.25">
      <c r="A9" t="s">
        <v>28</v>
      </c>
      <c r="B9">
        <v>1</v>
      </c>
      <c r="C9" t="s">
        <v>29</v>
      </c>
      <c r="D9" t="s">
        <v>30</v>
      </c>
      <c r="E9" t="s">
        <v>31</v>
      </c>
      <c r="F9" s="1" t="str">
        <f>HYPERLINK(E9)</f>
        <v>https://cz.mouser.com/ProductDetail/ams-OSRAM/LSG-T676-P7R-1-0%2bN7P9-24?qs=74fRo9GAWsxURNkIJamEtQ%3D%3D</v>
      </c>
    </row>
    <row r="10" spans="1:6" x14ac:dyDescent="0.25">
      <c r="A10" t="s">
        <v>32</v>
      </c>
      <c r="B10">
        <v>1</v>
      </c>
      <c r="C10" t="s">
        <v>33</v>
      </c>
      <c r="D10" t="s">
        <v>34</v>
      </c>
      <c r="E10" t="s">
        <v>35</v>
      </c>
      <c r="F10" s="1" t="str">
        <f>HYPERLINK(E10)</f>
        <v>https://cz.mouser.com/ProductDetail/Nexperia/PESD5V2S2UT-QR?qs=vvQtp7zwQdMj81rXubab%2Fw%3D%3D</v>
      </c>
    </row>
    <row r="11" spans="1:6" x14ac:dyDescent="0.25">
      <c r="A11" t="s">
        <v>36</v>
      </c>
      <c r="B11">
        <v>1</v>
      </c>
      <c r="C11" t="s">
        <v>37</v>
      </c>
      <c r="D11" t="s">
        <v>38</v>
      </c>
      <c r="E11" t="s">
        <v>39</v>
      </c>
      <c r="F11" s="1" t="str">
        <f>HYPERLINK(E11)</f>
        <v>https://cz.mouser.com/ProductDetail/Samtec/SSQ-104-01-G-S?qs=rU5fayqh%252BE3vCiJshtNkaw%3D%3D</v>
      </c>
    </row>
    <row r="12" spans="1:6" x14ac:dyDescent="0.25">
      <c r="A12" t="s">
        <v>40</v>
      </c>
      <c r="B12">
        <v>1</v>
      </c>
      <c r="C12" t="s">
        <v>41</v>
      </c>
      <c r="D12" t="s">
        <v>42</v>
      </c>
      <c r="E12" t="s">
        <v>113</v>
      </c>
      <c r="F12" s="1" t="str">
        <f>HYPERLINK(E12)</f>
        <v>https://cz.mouser.com/ProductDetail/Samtec/SHF-105-01-L-D-SM?qs=92ilVni64gzDB%252BvALG5zyg%3D%3D</v>
      </c>
    </row>
    <row r="13" spans="1:6" x14ac:dyDescent="0.25">
      <c r="A13" t="s">
        <v>43</v>
      </c>
      <c r="B13">
        <v>1</v>
      </c>
      <c r="C13" t="s">
        <v>44</v>
      </c>
      <c r="D13" t="s">
        <v>45</v>
      </c>
      <c r="E13" t="s">
        <v>46</v>
      </c>
      <c r="F13" s="1" t="str">
        <f>HYPERLINK(E13)</f>
        <v>https://cz.mouser.com/ProductDetail/GCT/USB4105-GF-A?qs=KUoIvG%2F9IlY%2FMLlBMpStpA%3D%3D</v>
      </c>
    </row>
    <row r="14" spans="1:6" x14ac:dyDescent="0.25">
      <c r="A14" t="s">
        <v>47</v>
      </c>
      <c r="B14">
        <v>1</v>
      </c>
      <c r="C14" t="s">
        <v>48</v>
      </c>
      <c r="D14" t="s">
        <v>49</v>
      </c>
      <c r="E14" t="s">
        <v>50</v>
      </c>
      <c r="F14" s="1" t="str">
        <f>HYPERLINK(E14)</f>
        <v>https://cz.mouser.com/ProductDetail/Amphenol-FCI/76308-102LF?qs=5xI8GKdkXlk3acvGut782g%3D%3D</v>
      </c>
    </row>
    <row r="15" spans="1:6" x14ac:dyDescent="0.25">
      <c r="A15" t="s">
        <v>51</v>
      </c>
      <c r="B15">
        <v>1</v>
      </c>
      <c r="C15" t="s">
        <v>52</v>
      </c>
      <c r="D15" t="s">
        <v>53</v>
      </c>
      <c r="E15" t="s">
        <v>54</v>
      </c>
      <c r="F15" s="1" t="str">
        <f>HYPERLINK(E15)</f>
        <v>https://cz.mouser.com/ProductDetail/Amphenol-FCI/10129378-910002BLF?qs=0lQeLiL1qyYh8zFHsKDebQ%3D%3D</v>
      </c>
    </row>
    <row r="16" spans="1:6" x14ac:dyDescent="0.25">
      <c r="A16" t="s">
        <v>55</v>
      </c>
      <c r="B16">
        <v>1</v>
      </c>
      <c r="C16" t="s">
        <v>56</v>
      </c>
      <c r="D16" t="s">
        <v>57</v>
      </c>
      <c r="E16" t="s">
        <v>58</v>
      </c>
      <c r="F16" s="1" t="str">
        <f>HYPERLINK(E16)</f>
        <v>https://cz.mouser.com/ProductDetail/TDK/MLZ2012M2R2HT000?qs=%2FPzWLGNeQ%252BjH4aKH16QzxA%3D%3D</v>
      </c>
    </row>
    <row r="17" spans="1:6" x14ac:dyDescent="0.25">
      <c r="A17" t="s">
        <v>59</v>
      </c>
      <c r="B17">
        <v>2</v>
      </c>
      <c r="C17" t="s">
        <v>60</v>
      </c>
      <c r="D17" t="s">
        <v>34</v>
      </c>
      <c r="E17" t="s">
        <v>61</v>
      </c>
      <c r="F17" s="1" t="str">
        <f>HYPERLINK(E17)</f>
        <v>https://cz.mouser.com/ProductDetail/onsemi-Fairchild/BSS138?qs=HK%252BeIG1iaahCeqBvjB4arg%3D%3D</v>
      </c>
    </row>
    <row r="18" spans="1:6" x14ac:dyDescent="0.25">
      <c r="A18" t="s">
        <v>62</v>
      </c>
      <c r="B18">
        <v>1</v>
      </c>
      <c r="C18" t="s">
        <v>112</v>
      </c>
      <c r="D18" t="s">
        <v>63</v>
      </c>
      <c r="E18" t="s">
        <v>64</v>
      </c>
      <c r="F18" s="1" t="str">
        <f>HYPERLINK(E18)</f>
        <v>https://cz.mouser.com/ProductDetail/onsemi-Fairchild/BSS84?qs=FOlmdCx%252BAA0e83h5MpSc0g%3D%3D</v>
      </c>
    </row>
    <row r="19" spans="1:6" x14ac:dyDescent="0.25">
      <c r="A19" t="s">
        <v>65</v>
      </c>
      <c r="B19">
        <v>1</v>
      </c>
      <c r="C19" t="s">
        <v>66</v>
      </c>
      <c r="D19" t="s">
        <v>67</v>
      </c>
      <c r="E19" t="s">
        <v>68</v>
      </c>
      <c r="F19" s="1" t="str">
        <f>HYPERLINK(E19)</f>
        <v>https://cz.mouser.com/ProductDetail/YAGEO/RT0603DRD07200RL?qs=sGAEpiMZZMvdGkrng054t98Xz4DA4UW4tL%2FJ%252BYl4JS0%3D</v>
      </c>
    </row>
    <row r="20" spans="1:6" x14ac:dyDescent="0.25">
      <c r="A20" t="s">
        <v>69</v>
      </c>
      <c r="B20">
        <v>1</v>
      </c>
      <c r="C20" t="s">
        <v>70</v>
      </c>
      <c r="D20" t="s">
        <v>67</v>
      </c>
      <c r="E20" t="s">
        <v>71</v>
      </c>
      <c r="F20" s="1" t="str">
        <f>HYPERLINK(E20)</f>
        <v>https://cz.mouser.com/ProductDetail/YAGEO/RT0603DRE0730RL?qs=sGAEpiMZZMvdGkrng054t98Xz4DA4UW4YZV2RawqRNs%3D</v>
      </c>
    </row>
    <row r="21" spans="1:6" x14ac:dyDescent="0.25">
      <c r="A21" t="s">
        <v>72</v>
      </c>
      <c r="B21">
        <v>1</v>
      </c>
      <c r="C21" t="s">
        <v>73</v>
      </c>
      <c r="D21" t="s">
        <v>67</v>
      </c>
      <c r="E21" t="s">
        <v>74</v>
      </c>
      <c r="F21" s="1" t="str">
        <f>HYPERLINK(E21)</f>
        <v>https://cz.mouser.com/ProductDetail/YAGEO/AC0603FR-10150RL?qs=sGAEpiMZZMvdGkrng054t7z4BkURc4Lzln2I4OegymmHVI9ZvR4dbw%3D%3D</v>
      </c>
    </row>
    <row r="22" spans="1:6" x14ac:dyDescent="0.25">
      <c r="A22" t="s">
        <v>75</v>
      </c>
      <c r="B22">
        <v>1</v>
      </c>
      <c r="C22" t="s">
        <v>76</v>
      </c>
      <c r="D22" t="s">
        <v>67</v>
      </c>
      <c r="E22" t="s">
        <v>77</v>
      </c>
      <c r="F22" s="1" t="str">
        <f>HYPERLINK(E22)</f>
        <v>https://cz.mouser.com/ProductDetail/YAGEO/RE0603FRE07330RL?qs=sGAEpiMZZMvdGkrng054txKsa61JPVaK1hhHAJIvBEnTs5jol0U%252BCA%3D%3D</v>
      </c>
    </row>
    <row r="23" spans="1:6" x14ac:dyDescent="0.25">
      <c r="A23" t="s">
        <v>78</v>
      </c>
      <c r="B23">
        <v>1</v>
      </c>
      <c r="C23" t="s">
        <v>79</v>
      </c>
      <c r="D23" t="s">
        <v>67</v>
      </c>
      <c r="E23" t="s">
        <v>80</v>
      </c>
      <c r="F23" s="1" t="str">
        <f>HYPERLINK(E23)</f>
        <v>https://cz.mouser.com/ProductDetail/Vishay/CRCW0603220RFKEC?qs=sGAEpiMZZMvdGkrng054t8tsKUCh5%2FbYPcVDsVQnjSI%3D</v>
      </c>
    </row>
    <row r="24" spans="1:6" x14ac:dyDescent="0.25">
      <c r="A24" t="s">
        <v>81</v>
      </c>
      <c r="B24">
        <v>3</v>
      </c>
      <c r="C24" t="s">
        <v>82</v>
      </c>
      <c r="D24" t="s">
        <v>67</v>
      </c>
      <c r="E24" t="s">
        <v>83</v>
      </c>
      <c r="F24" s="1" t="str">
        <f>HYPERLINK(E24)</f>
        <v>https://cz.mouser.com/ProductDetail/Panasonic/ERA-3AEB301V?qs=sGAEpiMZZMvdGkrng054typfXHMoP4iIkbyD7fSWN%2FQ%3D</v>
      </c>
    </row>
    <row r="25" spans="1:6" x14ac:dyDescent="0.25">
      <c r="A25" t="s">
        <v>84</v>
      </c>
      <c r="B25">
        <v>2</v>
      </c>
      <c r="C25" t="s">
        <v>85</v>
      </c>
      <c r="D25" t="s">
        <v>67</v>
      </c>
      <c r="E25" t="s">
        <v>86</v>
      </c>
      <c r="F25" s="1" t="str">
        <f>HYPERLINK(E25)</f>
        <v>https://cz.mouser.com/ProductDetail/Vishay/CRCW06035K10FKEBC?qs=sGAEpiMZZMvdGkrng054t7z4BkURc4Lz%2FG1bGth3rEYWSHBl%252Bnp12g%3D%3D</v>
      </c>
    </row>
    <row r="26" spans="1:6" x14ac:dyDescent="0.25">
      <c r="A26" t="s">
        <v>87</v>
      </c>
      <c r="B26">
        <v>2</v>
      </c>
      <c r="C26" t="s">
        <v>88</v>
      </c>
      <c r="D26" t="s">
        <v>67</v>
      </c>
      <c r="E26" t="s">
        <v>89</v>
      </c>
      <c r="F26" s="1" t="str">
        <f>HYPERLINK(E26)</f>
        <v>https://cz.mouser.com/ProductDetail/Vishay-Draloric/RCA06031K00FKEA?qs=sGAEpiMZZMvdGkrng054t4RorV1Ti4DlSoHlJpJPPXw%3D</v>
      </c>
    </row>
    <row r="27" spans="1:6" x14ac:dyDescent="0.25">
      <c r="A27" t="s">
        <v>90</v>
      </c>
      <c r="B27">
        <v>3</v>
      </c>
      <c r="C27" t="s">
        <v>91</v>
      </c>
      <c r="D27" t="s">
        <v>67</v>
      </c>
      <c r="E27" t="s">
        <v>92</v>
      </c>
      <c r="F27" s="1" t="str">
        <f>HYPERLINK(E27)</f>
        <v>https://cz.mouser.com/ProductDetail/YAGEO/RT0603BRD07100KL?qs=sGAEpiMZZMvdGkrng054tw0Q0rCXCD%252BwQDmEktc6R9I%3D</v>
      </c>
    </row>
    <row r="28" spans="1:6" x14ac:dyDescent="0.25">
      <c r="A28" t="s">
        <v>93</v>
      </c>
      <c r="B28">
        <v>1</v>
      </c>
      <c r="C28" t="s">
        <v>94</v>
      </c>
      <c r="D28" t="s">
        <v>67</v>
      </c>
      <c r="E28" t="s">
        <v>95</v>
      </c>
      <c r="F28" s="1" t="str">
        <f>HYPERLINK(E28)</f>
        <v>https://cz.mouser.com/ProductDetail/YAGEO/RC0603FR-7W10KL?qs=sGAEpiMZZMvdGkrng054t7z4BkURc4LzGoEqlFji1y4lKvwC2GSuGg%3D%3D</v>
      </c>
    </row>
    <row r="29" spans="1:6" x14ac:dyDescent="0.25">
      <c r="A29" t="s">
        <v>96</v>
      </c>
      <c r="B29">
        <v>1</v>
      </c>
      <c r="C29" t="s">
        <v>97</v>
      </c>
      <c r="D29" t="s">
        <v>98</v>
      </c>
      <c r="E29" t="s">
        <v>99</v>
      </c>
      <c r="F29" s="1" t="str">
        <f>HYPERLINK(E29)</f>
        <v>https://cz.mouser.com/ProductDetail/Omron-Electronics/B3F-1060?qs=sGAEpiMZZMtFyPk3yBMYYF1JtEo7eYpLKZx9qu%252BYPPI%3D</v>
      </c>
    </row>
    <row r="30" spans="1:6" x14ac:dyDescent="0.25">
      <c r="A30" t="s">
        <v>100</v>
      </c>
      <c r="B30">
        <v>1</v>
      </c>
      <c r="C30" t="s">
        <v>101</v>
      </c>
      <c r="D30" t="s">
        <v>102</v>
      </c>
      <c r="E30" t="s">
        <v>103</v>
      </c>
      <c r="F30" s="1" t="str">
        <f>HYPERLINK(E30)</f>
        <v>https://cz.mouser.com/ProductDetail/Nexperia/IP4234CZ6125?qs=sSXnapcmqSskfgXn%2F9aKzA%3D%3D</v>
      </c>
    </row>
    <row r="31" spans="1:6" x14ac:dyDescent="0.25">
      <c r="A31" t="s">
        <v>104</v>
      </c>
      <c r="B31">
        <v>1</v>
      </c>
      <c r="C31" t="s">
        <v>105</v>
      </c>
      <c r="D31" t="s">
        <v>106</v>
      </c>
      <c r="E31" t="s">
        <v>107</v>
      </c>
      <c r="F31" s="1" t="str">
        <f>HYPERLINK(E31)</f>
        <v>https://cz.mouser.com/ProductDetail/Analog-Devices-Maxim-Integrated/MAX40203AUK%2bT?qs=l7cgNqFNU1j1dlDj29Iz0A%3D%3D</v>
      </c>
    </row>
    <row r="32" spans="1:6" x14ac:dyDescent="0.25">
      <c r="A32" t="s">
        <v>108</v>
      </c>
      <c r="B32">
        <v>1</v>
      </c>
      <c r="C32" t="s">
        <v>109</v>
      </c>
      <c r="D32" t="s">
        <v>106</v>
      </c>
      <c r="E32" t="s">
        <v>110</v>
      </c>
      <c r="F32" s="1" t="str">
        <f>HYPERLINK(E32)</f>
        <v>https://cz.mouser.com/ProductDetail/Torex-Semiconductor/XC9285B33CMR-G?qs=dbcCsuKDzFUopNkosMcCjA%3D%3D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UWBkit_minimal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Koiš Christopher (240635)</cp:lastModifiedBy>
  <dcterms:created xsi:type="dcterms:W3CDTF">2025-10-15T15:47:29Z</dcterms:created>
  <dcterms:modified xsi:type="dcterms:W3CDTF">2026-01-01T15:39:13Z</dcterms:modified>
</cp:coreProperties>
</file>