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repos\UWBkit\KiCad\UWBkit_sniffer\bom\"/>
    </mc:Choice>
  </mc:AlternateContent>
  <xr:revisionPtr revIDLastSave="0" documentId="13_ncr:1_{5A48C64D-024D-4E3B-B3AD-1B32BDEA4CBC}" xr6:coauthVersionLast="47" xr6:coauthVersionMax="47" xr10:uidLastSave="{00000000-0000-0000-0000-000000000000}"/>
  <bookViews>
    <workbookView xWindow="-120" yWindow="-120" windowWidth="29040" windowHeight="15720" xr2:uid="{D3B1A084-BB42-471D-9A91-E5D0DBC0C683}"/>
  </bookViews>
  <sheets>
    <sheet name="UWBkit_mini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H33" i="1"/>
  <c r="H34" i="1"/>
  <c r="H35" i="1"/>
  <c r="H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  <c r="H2" i="1"/>
</calcChain>
</file>

<file path=xl/sharedStrings.xml><?xml version="1.0" encoding="utf-8"?>
<sst xmlns="http://schemas.openxmlformats.org/spreadsheetml/2006/main" count="127" uniqueCount="109">
  <si>
    <t>Reference</t>
  </si>
  <si>
    <t>Qty</t>
  </si>
  <si>
    <t>Value</t>
  </si>
  <si>
    <t>Footprint</t>
  </si>
  <si>
    <t>Mouser link</t>
  </si>
  <si>
    <t>100n</t>
  </si>
  <si>
    <t>Capacitor_SMD:C_0603_1608Metric</t>
  </si>
  <si>
    <t>10u</t>
  </si>
  <si>
    <t>Capacitor_Tantalum_SMD:CP_EIA-3216-18_Kemet-A</t>
  </si>
  <si>
    <t>G</t>
  </si>
  <si>
    <t>LED_SMD:LED_0603_1608Metric</t>
  </si>
  <si>
    <t>R</t>
  </si>
  <si>
    <t>J1</t>
  </si>
  <si>
    <t>Connector_PinSocket_2.54mm:PinSocket_1x04_P2.54mm_Vertical</t>
  </si>
  <si>
    <t>J2</t>
  </si>
  <si>
    <t>Conn_SWD</t>
  </si>
  <si>
    <t>Connector_PinHeader_1.27mm:PinHeader_2x05_P1.27mm_Vertical_SMD</t>
  </si>
  <si>
    <t>J3</t>
  </si>
  <si>
    <t>USB_C_Receptacle_USB2.0_14P</t>
  </si>
  <si>
    <t>Connector_USB:USB_C_Receptacle_GCT_USB4105-xx-A_16P_TopMnt_Horizontal</t>
  </si>
  <si>
    <t>https://cz.mouser.com/ProductDetail/GCT/USB4105-GF-A?qs=KUoIvG%2F9IlY%2FMLlBMpStpA%3D%3D</t>
  </si>
  <si>
    <t>J4</t>
  </si>
  <si>
    <t>J5</t>
  </si>
  <si>
    <t>Connector_PinHeader_2.54mm:PinHeader_1x02_P2.54mm_Vertical</t>
  </si>
  <si>
    <t>2.2u</t>
  </si>
  <si>
    <t>Inductor_SMD:L_0805_2012Metric</t>
  </si>
  <si>
    <t>Resistor_SMD:R_0603_1608Metric</t>
  </si>
  <si>
    <t>5k1</t>
  </si>
  <si>
    <t>100k</t>
  </si>
  <si>
    <t>R14</t>
  </si>
  <si>
    <t>10k</t>
  </si>
  <si>
    <t>SW1</t>
  </si>
  <si>
    <t>SW_Push</t>
  </si>
  <si>
    <t>Button_Switch_THT:SW_TH_Tactile_Omron_B3F-106x</t>
  </si>
  <si>
    <t>U2</t>
  </si>
  <si>
    <t>IP4234CZ6</t>
  </si>
  <si>
    <t>Package_TO_SOT_SMD:SC-74-6_1.55x2.9mm_P0.95mm</t>
  </si>
  <si>
    <t>U3</t>
  </si>
  <si>
    <t>Package_TO_SOT_SMD:SOT-23-5</t>
  </si>
  <si>
    <t>XC9285B33CMR-G</t>
  </si>
  <si>
    <t>https://cz.mouser.com/ProductDetail/Torex-Semiconductor/XC9285B33CMR-G?qs=dbcCsuKDzFUopNkosMcCjA%3D%3D</t>
  </si>
  <si>
    <t>Qty Owned</t>
  </si>
  <si>
    <t>Qty Need</t>
  </si>
  <si>
    <t>ANT1</t>
  </si>
  <si>
    <t>C1,C3,C6,C9,C11,C12</t>
  </si>
  <si>
    <t>C2,C4</t>
  </si>
  <si>
    <t>C5</t>
  </si>
  <si>
    <t>C7,C8</t>
  </si>
  <si>
    <t>C10</t>
  </si>
  <si>
    <t>D1,D2,D4,D5</t>
  </si>
  <si>
    <t>D3,D6</t>
  </si>
  <si>
    <t>H1,H2,H3,H4</t>
  </si>
  <si>
    <t>J6</t>
  </si>
  <si>
    <t>J7</t>
  </si>
  <si>
    <t>J8</t>
  </si>
  <si>
    <t>J9</t>
  </si>
  <si>
    <t>J10,J11</t>
  </si>
  <si>
    <t>L3</t>
  </si>
  <si>
    <t>R3,R11</t>
  </si>
  <si>
    <t>R4,R5,R10,R15</t>
  </si>
  <si>
    <t>R6,R16</t>
  </si>
  <si>
    <t>R7,R8,R13</t>
  </si>
  <si>
    <t>R12</t>
  </si>
  <si>
    <t>R17,R18,R20,R21</t>
  </si>
  <si>
    <t>R19,R22</t>
  </si>
  <si>
    <t>U1</t>
  </si>
  <si>
    <t>U4,U5</t>
  </si>
  <si>
    <t>Taoglas_UWC.20</t>
  </si>
  <si>
    <t>0R</t>
  </si>
  <si>
    <t>1u</t>
  </si>
  <si>
    <t>MountingHole_Pad</t>
  </si>
  <si>
    <t>Conn_I2C1</t>
  </si>
  <si>
    <t>Conn_I2C2</t>
  </si>
  <si>
    <t>Conn_01x03</t>
  </si>
  <si>
    <t>Conn_SPIS</t>
  </si>
  <si>
    <t>Conn_SPIM</t>
  </si>
  <si>
    <t>Conn_GPIO</t>
  </si>
  <si>
    <t>Conn_Coaxial</t>
  </si>
  <si>
    <t>Conn_01x02</t>
  </si>
  <si>
    <t>L</t>
  </si>
  <si>
    <t>3k3</t>
  </si>
  <si>
    <t>2k1</t>
  </si>
  <si>
    <t>24k</t>
  </si>
  <si>
    <t>47k</t>
  </si>
  <si>
    <t>LBUA5QJ2AB</t>
  </si>
  <si>
    <t>CP2104</t>
  </si>
  <si>
    <t>UWB_Antennas:Taoglas_UWC.20</t>
  </si>
  <si>
    <t>MountingHole:MountingHole_3.2mm_M3_Pad_Via</t>
  </si>
  <si>
    <t>Connector_PinSocket_2.54mm:PinSocket_1x03_P2.54mm_Vertical</t>
  </si>
  <si>
    <t>Connector_PinSocket_2.54mm:PinSocket_1x07_P2.54mm_Vertical</t>
  </si>
  <si>
    <t>Connector_PinSocket_2.54mm:PinSocket_2x04_P2.54mm_Vertical</t>
  </si>
  <si>
    <t>Connector_Coaxial:SMA_Molex_73251-1153_EdgeMount_Horizontal</t>
  </si>
  <si>
    <t>Inductor_SMD:L_0603_1608Metric</t>
  </si>
  <si>
    <t>LBUA5QJ2AB:LBUA5QJ2AB</t>
  </si>
  <si>
    <t>Package_DFN_QFN:QFN-24-1EP_4x4mm_P0.5mm_EP2.6x2.6mm</t>
  </si>
  <si>
    <t>L1,L2 (DNP)</t>
  </si>
  <si>
    <t>R1,R2,R9 (DNP)</t>
  </si>
  <si>
    <t>https://cz.mouser.com/ProductDetail/Taoglas/UWC.20?qs=MLItCLRbWswWjiq9Fti3WQ%3D%3D</t>
  </si>
  <si>
    <t>https://cz.mouser.com/ProductDetail/Panasonic/ERJ-H3G0R00V?qs=eP2BKZSCXI4lQ49QwEWHxw%3D%3D</t>
  </si>
  <si>
    <t>https://cz.mouser.com/ProductDetail/KEMET/T491A105K020ATAUTO?qs=WOKUqv%2F%2FT%2Fa0doDrQU37QA%3D%3D</t>
  </si>
  <si>
    <t>https://cz.mouser.com/ProductDetail/Molex/73251-1153?qs=vxeUf0TWHS0zlj4xWb5GCw%3D%3D</t>
  </si>
  <si>
    <t>https://cz.mouser.com/ProductDetail/YAGEO/RC0603FR-073K3L?qs=gt6vzsuosg2EoNiKbtAsfQ%3D%3D</t>
  </si>
  <si>
    <t>https://cz.mouser.com/ProductDetail/YAGEO/RC0603FR-072K1L?qs=IuGqVx9wL0IQ8qvrNmtVmg%3D%3D</t>
  </si>
  <si>
    <t>https://cz.mouser.com/ProductDetail/YAGEO/RC0603FR-1024KL?qs=EiqXWrxQq63LblM5DPLYDA%3D%3D</t>
  </si>
  <si>
    <t>https://cz.mouser.com/ProductDetail/YAGEO/AC0603FR-1347KL?qs=1mbolxNpo8d0iSUsjFUAXQ%3D%3D</t>
  </si>
  <si>
    <t>https://cz.mouser.com/ProductDetail/Murata/LBUA5QJ2AB-828?qs=By6Nw2ByBD3tGvEImOEzYQ%3D%3D</t>
  </si>
  <si>
    <t>https://cz.mouser.com/ProductDetail/Silicon-Labs/CP2104-F03-GMR?qs=1CB38rTTsYrRJKVkczeRzA%3D%3D</t>
  </si>
  <si>
    <t>https://cz.mouser.com/ProductDetail/STMicroelectronics/USBLC6-4SC6Y?qs=gNDSiZmRJS%252B5K%252Bxjl%252Bw9xw%3D%3D</t>
  </si>
  <si>
    <t>https://cz.mouser.com/ProductDetail/Samtec/FTSH-105-01-F-DV-K-A?qs=rU5fayqh%252BE2B26KBQKnaPw%3D%3D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</si>
</sst>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78AB-18AB-45D1-A769-CBAF8CA04513}">
  <dimension ref="A1:H38"/>
  <sheetViews>
    <sheetView tabSelected="1" workbookViewId="0">
      <selection activeCell="P11" sqref="P11"/>
    </sheetView>
  </sheetViews>
  <sheetFormatPr defaultRowHeight="15" x14ac:dyDescent="0.25"/>
  <cols>
    <col min="1" max="1" width="20.85546875" customWidth="1"/>
    <col min="2" max="3" width="11.42578125" customWidth="1"/>
    <col min="4" max="4" width="11.85546875" customWidth="1"/>
    <col min="5" max="5" width="28.85546875" customWidth="1"/>
    <col min="6" max="6" width="25" customWidth="1"/>
    <col min="7" max="7" width="5.5703125" hidden="1" customWidth="1"/>
    <col min="8" max="8" width="41" customWidth="1"/>
  </cols>
  <sheetData>
    <row r="1" spans="1:8" x14ac:dyDescent="0.25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3</v>
      </c>
      <c r="H1" t="s">
        <v>4</v>
      </c>
    </row>
    <row r="2" spans="1:8" x14ac:dyDescent="0.25">
      <c r="A2" t="s">
        <v>43</v>
      </c>
      <c r="B2">
        <v>1</v>
      </c>
      <c r="C2">
        <v>0</v>
      </c>
      <c r="D2">
        <f>B2-C2</f>
        <v>1</v>
      </c>
      <c r="E2" t="s">
        <v>67</v>
      </c>
      <c r="F2" t="s">
        <v>86</v>
      </c>
      <c r="G2" t="s">
        <v>97</v>
      </c>
      <c r="H2" s="1" t="str">
        <f>HYPERLINK(G2)</f>
        <v>https://cz.mouser.com/ProductDetail/Taoglas/UWC.20?qs=MLItCLRbWswWjiq9Fti3WQ%3D%3D</v>
      </c>
    </row>
    <row r="3" spans="1:8" x14ac:dyDescent="0.25">
      <c r="A3" t="s">
        <v>44</v>
      </c>
      <c r="B3">
        <v>6</v>
      </c>
      <c r="C3">
        <v>6</v>
      </c>
      <c r="D3">
        <f t="shared" ref="D3:D36" si="0">B3-C3</f>
        <v>0</v>
      </c>
      <c r="E3" t="s">
        <v>5</v>
      </c>
      <c r="F3" t="s">
        <v>6</v>
      </c>
      <c r="H3" s="1" t="str">
        <f t="shared" ref="H3:H36" si="1">HYPERLINK(G3)</f>
        <v/>
      </c>
    </row>
    <row r="4" spans="1:8" x14ac:dyDescent="0.25">
      <c r="A4" t="s">
        <v>45</v>
      </c>
      <c r="B4">
        <v>2</v>
      </c>
      <c r="C4">
        <v>8</v>
      </c>
      <c r="D4">
        <f t="shared" si="0"/>
        <v>-6</v>
      </c>
      <c r="E4" t="s">
        <v>7</v>
      </c>
      <c r="F4" t="s">
        <v>8</v>
      </c>
      <c r="H4" s="1" t="str">
        <f t="shared" si="1"/>
        <v/>
      </c>
    </row>
    <row r="5" spans="1:8" x14ac:dyDescent="0.25">
      <c r="A5" t="s">
        <v>46</v>
      </c>
      <c r="B5">
        <v>1</v>
      </c>
      <c r="C5">
        <v>0</v>
      </c>
      <c r="D5">
        <f t="shared" si="0"/>
        <v>1</v>
      </c>
      <c r="E5" t="s">
        <v>68</v>
      </c>
      <c r="F5" t="s">
        <v>6</v>
      </c>
      <c r="G5" t="s">
        <v>98</v>
      </c>
      <c r="H5" s="1" t="str">
        <f t="shared" si="1"/>
        <v>https://cz.mouser.com/ProductDetail/Panasonic/ERJ-H3G0R00V?qs=eP2BKZSCXI4lQ49QwEWHxw%3D%3D</v>
      </c>
    </row>
    <row r="6" spans="1:8" x14ac:dyDescent="0.25">
      <c r="A6" t="s">
        <v>47</v>
      </c>
      <c r="B6">
        <v>2</v>
      </c>
      <c r="C6">
        <v>6</v>
      </c>
      <c r="D6">
        <f t="shared" si="0"/>
        <v>-4</v>
      </c>
      <c r="E6" t="s">
        <v>7</v>
      </c>
      <c r="F6" t="s">
        <v>6</v>
      </c>
      <c r="H6" s="1" t="str">
        <f t="shared" si="1"/>
        <v/>
      </c>
    </row>
    <row r="7" spans="1:8" x14ac:dyDescent="0.25">
      <c r="A7" t="s">
        <v>48</v>
      </c>
      <c r="B7">
        <v>1</v>
      </c>
      <c r="C7">
        <v>0</v>
      </c>
      <c r="D7">
        <f t="shared" si="0"/>
        <v>1</v>
      </c>
      <c r="E7" t="s">
        <v>69</v>
      </c>
      <c r="F7" t="s">
        <v>8</v>
      </c>
      <c r="G7" t="s">
        <v>99</v>
      </c>
      <c r="H7" s="1" t="str">
        <f t="shared" si="1"/>
        <v>https://cz.mouser.com/ProductDetail/KEMET/T491A105K020ATAUTO?qs=WOKUqv%2F%2FT%2Fa0doDrQU37QA%3D%3D</v>
      </c>
    </row>
    <row r="8" spans="1:8" x14ac:dyDescent="0.25">
      <c r="A8" t="s">
        <v>49</v>
      </c>
      <c r="B8">
        <v>4</v>
      </c>
      <c r="C8">
        <v>4</v>
      </c>
      <c r="D8">
        <f t="shared" si="0"/>
        <v>0</v>
      </c>
      <c r="E8" t="s">
        <v>11</v>
      </c>
      <c r="F8" t="s">
        <v>10</v>
      </c>
      <c r="H8" s="1" t="str">
        <f t="shared" si="1"/>
        <v/>
      </c>
    </row>
    <row r="9" spans="1:8" x14ac:dyDescent="0.25">
      <c r="A9" t="s">
        <v>50</v>
      </c>
      <c r="B9">
        <v>2</v>
      </c>
      <c r="C9">
        <v>2</v>
      </c>
      <c r="D9">
        <f t="shared" si="0"/>
        <v>0</v>
      </c>
      <c r="E9" t="s">
        <v>9</v>
      </c>
      <c r="F9" t="s">
        <v>10</v>
      </c>
      <c r="H9" s="1" t="str">
        <f t="shared" si="1"/>
        <v/>
      </c>
    </row>
    <row r="10" spans="1:8" x14ac:dyDescent="0.25">
      <c r="A10" t="s">
        <v>51</v>
      </c>
      <c r="B10">
        <v>4</v>
      </c>
      <c r="C10">
        <v>4</v>
      </c>
      <c r="D10">
        <f t="shared" si="0"/>
        <v>0</v>
      </c>
      <c r="E10" t="s">
        <v>70</v>
      </c>
      <c r="F10" t="s">
        <v>87</v>
      </c>
      <c r="H10" s="1" t="str">
        <f t="shared" si="1"/>
        <v/>
      </c>
    </row>
    <row r="11" spans="1:8" x14ac:dyDescent="0.25">
      <c r="A11" t="s">
        <v>12</v>
      </c>
      <c r="B11">
        <v>1</v>
      </c>
      <c r="C11">
        <v>1</v>
      </c>
      <c r="D11">
        <f t="shared" si="0"/>
        <v>0</v>
      </c>
      <c r="E11" t="s">
        <v>71</v>
      </c>
      <c r="F11" t="s">
        <v>13</v>
      </c>
      <c r="H11" s="1" t="str">
        <f t="shared" si="1"/>
        <v/>
      </c>
    </row>
    <row r="12" spans="1:8" x14ac:dyDescent="0.25">
      <c r="A12" t="s">
        <v>14</v>
      </c>
      <c r="B12">
        <v>1</v>
      </c>
      <c r="C12">
        <v>1</v>
      </c>
      <c r="D12">
        <f t="shared" si="0"/>
        <v>0</v>
      </c>
      <c r="E12" t="s">
        <v>72</v>
      </c>
      <c r="F12" t="s">
        <v>13</v>
      </c>
      <c r="H12" s="1" t="str">
        <f t="shared" si="1"/>
        <v/>
      </c>
    </row>
    <row r="13" spans="1:8" x14ac:dyDescent="0.25">
      <c r="A13" t="s">
        <v>17</v>
      </c>
      <c r="B13">
        <v>1</v>
      </c>
      <c r="C13">
        <v>1</v>
      </c>
      <c r="D13">
        <f t="shared" si="0"/>
        <v>0</v>
      </c>
      <c r="E13" t="s">
        <v>73</v>
      </c>
      <c r="F13" t="s">
        <v>88</v>
      </c>
      <c r="H13" s="1" t="str">
        <f t="shared" si="1"/>
        <v/>
      </c>
    </row>
    <row r="14" spans="1:8" x14ac:dyDescent="0.25">
      <c r="A14" t="s">
        <v>21</v>
      </c>
      <c r="B14">
        <v>1</v>
      </c>
      <c r="C14">
        <v>1</v>
      </c>
      <c r="D14">
        <f t="shared" si="0"/>
        <v>0</v>
      </c>
      <c r="E14" t="s">
        <v>74</v>
      </c>
      <c r="F14" t="s">
        <v>89</v>
      </c>
      <c r="H14" s="1" t="str">
        <f t="shared" si="1"/>
        <v/>
      </c>
    </row>
    <row r="15" spans="1:8" x14ac:dyDescent="0.25">
      <c r="A15" t="s">
        <v>22</v>
      </c>
      <c r="B15">
        <v>1</v>
      </c>
      <c r="C15">
        <v>1</v>
      </c>
      <c r="D15">
        <f t="shared" si="0"/>
        <v>0</v>
      </c>
      <c r="E15" t="s">
        <v>75</v>
      </c>
      <c r="F15" t="s">
        <v>89</v>
      </c>
      <c r="H15" s="1" t="str">
        <f t="shared" si="1"/>
        <v/>
      </c>
    </row>
    <row r="16" spans="1:8" x14ac:dyDescent="0.25">
      <c r="A16" t="s">
        <v>52</v>
      </c>
      <c r="B16">
        <v>1</v>
      </c>
      <c r="C16">
        <v>0</v>
      </c>
      <c r="D16">
        <f t="shared" si="0"/>
        <v>1</v>
      </c>
      <c r="E16" t="s">
        <v>15</v>
      </c>
      <c r="F16" t="s">
        <v>16</v>
      </c>
      <c r="G16" t="s">
        <v>108</v>
      </c>
      <c r="H16" s="1" t="str">
        <f t="shared" si="1"/>
        <v>https://cz.mouser.com/ProductDetail/Samtec/FTSH-105-01-F-DV-K-A?qs=rU5fayqh%252BE2B26KBQKnaPw%3D%3D</v>
      </c>
    </row>
    <row r="17" spans="1:8" x14ac:dyDescent="0.25">
      <c r="A17" t="s">
        <v>53</v>
      </c>
      <c r="B17">
        <v>1</v>
      </c>
      <c r="C17">
        <v>1</v>
      </c>
      <c r="D17">
        <f t="shared" si="0"/>
        <v>0</v>
      </c>
      <c r="E17" t="s">
        <v>76</v>
      </c>
      <c r="F17" t="s">
        <v>90</v>
      </c>
      <c r="H17" s="1" t="str">
        <f t="shared" si="1"/>
        <v/>
      </c>
    </row>
    <row r="18" spans="1:8" x14ac:dyDescent="0.25">
      <c r="A18" t="s">
        <v>54</v>
      </c>
      <c r="B18">
        <v>1</v>
      </c>
      <c r="C18">
        <v>0</v>
      </c>
      <c r="D18">
        <f t="shared" si="0"/>
        <v>1</v>
      </c>
      <c r="E18" t="s">
        <v>77</v>
      </c>
      <c r="F18" t="s">
        <v>91</v>
      </c>
      <c r="G18" t="s">
        <v>100</v>
      </c>
      <c r="H18" s="1" t="str">
        <f t="shared" si="1"/>
        <v>https://cz.mouser.com/ProductDetail/Molex/73251-1153?qs=vxeUf0TWHS0zlj4xWb5GCw%3D%3D</v>
      </c>
    </row>
    <row r="19" spans="1:8" x14ac:dyDescent="0.25">
      <c r="A19" t="s">
        <v>55</v>
      </c>
      <c r="B19">
        <v>1</v>
      </c>
      <c r="C19">
        <v>1</v>
      </c>
      <c r="D19">
        <f t="shared" si="0"/>
        <v>0</v>
      </c>
      <c r="E19" t="s">
        <v>78</v>
      </c>
      <c r="F19" t="s">
        <v>23</v>
      </c>
      <c r="H19" s="1" t="str">
        <f t="shared" si="1"/>
        <v/>
      </c>
    </row>
    <row r="20" spans="1:8" x14ac:dyDescent="0.25">
      <c r="A20" t="s">
        <v>56</v>
      </c>
      <c r="B20">
        <v>2</v>
      </c>
      <c r="C20">
        <v>1</v>
      </c>
      <c r="D20">
        <f t="shared" si="0"/>
        <v>1</v>
      </c>
      <c r="E20" t="s">
        <v>18</v>
      </c>
      <c r="F20" t="s">
        <v>19</v>
      </c>
      <c r="G20" t="s">
        <v>20</v>
      </c>
      <c r="H20" s="1" t="str">
        <f t="shared" si="1"/>
        <v>https://cz.mouser.com/ProductDetail/GCT/USB4105-GF-A?qs=KUoIvG%2F9IlY%2FMLlBMpStpA%3D%3D</v>
      </c>
    </row>
    <row r="21" spans="1:8" x14ac:dyDescent="0.25">
      <c r="A21" t="s">
        <v>95</v>
      </c>
      <c r="B21">
        <v>2</v>
      </c>
      <c r="C21">
        <v>2</v>
      </c>
      <c r="D21">
        <f t="shared" si="0"/>
        <v>0</v>
      </c>
      <c r="E21" t="s">
        <v>79</v>
      </c>
      <c r="F21" t="s">
        <v>92</v>
      </c>
      <c r="H21" s="1" t="str">
        <f t="shared" si="1"/>
        <v/>
      </c>
    </row>
    <row r="22" spans="1:8" x14ac:dyDescent="0.25">
      <c r="A22" t="s">
        <v>57</v>
      </c>
      <c r="B22">
        <v>1</v>
      </c>
      <c r="C22">
        <v>8</v>
      </c>
      <c r="D22">
        <f t="shared" si="0"/>
        <v>-7</v>
      </c>
      <c r="E22" t="s">
        <v>24</v>
      </c>
      <c r="F22" t="s">
        <v>25</v>
      </c>
      <c r="H22" s="1" t="str">
        <f t="shared" si="1"/>
        <v/>
      </c>
    </row>
    <row r="23" spans="1:8" x14ac:dyDescent="0.25">
      <c r="A23" t="s">
        <v>96</v>
      </c>
      <c r="B23">
        <v>3</v>
      </c>
      <c r="C23">
        <v>3</v>
      </c>
      <c r="D23">
        <f t="shared" si="0"/>
        <v>0</v>
      </c>
      <c r="E23" t="s">
        <v>68</v>
      </c>
      <c r="F23" t="s">
        <v>26</v>
      </c>
      <c r="H23" s="1" t="str">
        <f t="shared" si="1"/>
        <v/>
      </c>
    </row>
    <row r="24" spans="1:8" x14ac:dyDescent="0.25">
      <c r="A24" t="s">
        <v>58</v>
      </c>
      <c r="B24">
        <v>2</v>
      </c>
      <c r="C24">
        <v>15</v>
      </c>
      <c r="D24">
        <f t="shared" si="0"/>
        <v>-13</v>
      </c>
      <c r="E24" t="s">
        <v>28</v>
      </c>
      <c r="F24" t="s">
        <v>26</v>
      </c>
      <c r="H24" s="1" t="str">
        <f t="shared" si="1"/>
        <v/>
      </c>
    </row>
    <row r="25" spans="1:8" x14ac:dyDescent="0.25">
      <c r="A25" t="s">
        <v>59</v>
      </c>
      <c r="B25">
        <v>4</v>
      </c>
      <c r="C25">
        <v>0</v>
      </c>
      <c r="D25">
        <f t="shared" si="0"/>
        <v>4</v>
      </c>
      <c r="E25" t="s">
        <v>80</v>
      </c>
      <c r="F25" t="s">
        <v>26</v>
      </c>
      <c r="G25" t="s">
        <v>101</v>
      </c>
      <c r="H25" s="1" t="str">
        <f t="shared" si="1"/>
        <v>https://cz.mouser.com/ProductDetail/YAGEO/RC0603FR-073K3L?qs=gt6vzsuosg2EoNiKbtAsfQ%3D%3D</v>
      </c>
    </row>
    <row r="26" spans="1:8" x14ac:dyDescent="0.25">
      <c r="A26" t="s">
        <v>60</v>
      </c>
      <c r="B26">
        <v>2</v>
      </c>
      <c r="C26">
        <v>0</v>
      </c>
      <c r="D26">
        <f t="shared" si="0"/>
        <v>2</v>
      </c>
      <c r="E26" t="s">
        <v>81</v>
      </c>
      <c r="F26" t="s">
        <v>26</v>
      </c>
      <c r="G26" t="s">
        <v>102</v>
      </c>
      <c r="H26" s="1" t="str">
        <f t="shared" si="1"/>
        <v>https://cz.mouser.com/ProductDetail/YAGEO/RC0603FR-072K1L?qs=IuGqVx9wL0IQ8qvrNmtVmg%3D%3D</v>
      </c>
    </row>
    <row r="27" spans="1:8" x14ac:dyDescent="0.25">
      <c r="A27" t="s">
        <v>61</v>
      </c>
      <c r="B27">
        <v>3</v>
      </c>
      <c r="C27">
        <v>3</v>
      </c>
      <c r="D27">
        <f t="shared" si="0"/>
        <v>0</v>
      </c>
      <c r="E27" t="s">
        <v>68</v>
      </c>
      <c r="F27" t="s">
        <v>26</v>
      </c>
      <c r="H27" s="1" t="str">
        <f t="shared" si="1"/>
        <v/>
      </c>
    </row>
    <row r="28" spans="1:8" x14ac:dyDescent="0.25">
      <c r="A28" t="s">
        <v>62</v>
      </c>
      <c r="B28">
        <v>1</v>
      </c>
      <c r="C28">
        <v>0</v>
      </c>
      <c r="D28">
        <f t="shared" si="0"/>
        <v>1</v>
      </c>
      <c r="E28" t="s">
        <v>82</v>
      </c>
      <c r="F28" t="s">
        <v>26</v>
      </c>
      <c r="G28" t="s">
        <v>103</v>
      </c>
      <c r="H28" s="1" t="str">
        <f t="shared" si="1"/>
        <v>https://cz.mouser.com/ProductDetail/YAGEO/RC0603FR-1024KL?qs=EiqXWrxQq63LblM5DPLYDA%3D%3D</v>
      </c>
    </row>
    <row r="29" spans="1:8" x14ac:dyDescent="0.25">
      <c r="A29" t="s">
        <v>29</v>
      </c>
      <c r="B29">
        <v>1</v>
      </c>
      <c r="C29">
        <v>0</v>
      </c>
      <c r="D29">
        <f t="shared" si="0"/>
        <v>1</v>
      </c>
      <c r="E29" t="s">
        <v>83</v>
      </c>
      <c r="F29" t="s">
        <v>26</v>
      </c>
      <c r="G29" t="s">
        <v>104</v>
      </c>
      <c r="H29" s="1" t="str">
        <f t="shared" si="1"/>
        <v>https://cz.mouser.com/ProductDetail/YAGEO/AC0603FR-1347KL?qs=1mbolxNpo8d0iSUsjFUAXQ%3D%3D</v>
      </c>
    </row>
    <row r="30" spans="1:8" x14ac:dyDescent="0.25">
      <c r="A30" t="s">
        <v>63</v>
      </c>
      <c r="B30">
        <v>4</v>
      </c>
      <c r="C30">
        <v>6</v>
      </c>
      <c r="D30">
        <f t="shared" si="0"/>
        <v>-2</v>
      </c>
      <c r="E30" t="s">
        <v>27</v>
      </c>
      <c r="F30" t="s">
        <v>26</v>
      </c>
      <c r="H30" s="1" t="str">
        <f t="shared" si="1"/>
        <v/>
      </c>
    </row>
    <row r="31" spans="1:8" x14ac:dyDescent="0.25">
      <c r="A31" t="s">
        <v>64</v>
      </c>
      <c r="B31">
        <v>2</v>
      </c>
      <c r="C31">
        <v>8</v>
      </c>
      <c r="D31">
        <f t="shared" si="0"/>
        <v>-6</v>
      </c>
      <c r="E31" t="s">
        <v>30</v>
      </c>
      <c r="F31" t="s">
        <v>26</v>
      </c>
      <c r="H31" s="1" t="str">
        <f t="shared" si="1"/>
        <v/>
      </c>
    </row>
    <row r="32" spans="1:8" x14ac:dyDescent="0.25">
      <c r="A32" t="s">
        <v>31</v>
      </c>
      <c r="B32">
        <v>1</v>
      </c>
      <c r="C32">
        <v>1</v>
      </c>
      <c r="D32">
        <f t="shared" si="0"/>
        <v>0</v>
      </c>
      <c r="E32" t="s">
        <v>32</v>
      </c>
      <c r="F32" t="s">
        <v>33</v>
      </c>
      <c r="H32" s="1" t="str">
        <f t="shared" si="1"/>
        <v/>
      </c>
    </row>
    <row r="33" spans="1:8" x14ac:dyDescent="0.25">
      <c r="A33" t="s">
        <v>65</v>
      </c>
      <c r="B33">
        <v>1</v>
      </c>
      <c r="C33">
        <v>0</v>
      </c>
      <c r="D33">
        <f t="shared" si="0"/>
        <v>1</v>
      </c>
      <c r="E33" t="s">
        <v>84</v>
      </c>
      <c r="F33" t="s">
        <v>93</v>
      </c>
      <c r="G33" t="s">
        <v>105</v>
      </c>
      <c r="H33" s="1" t="str">
        <f t="shared" si="1"/>
        <v>https://cz.mouser.com/ProductDetail/Murata/LBUA5QJ2AB-828?qs=By6Nw2ByBD3tGvEImOEzYQ%3D%3D</v>
      </c>
    </row>
    <row r="34" spans="1:8" x14ac:dyDescent="0.25">
      <c r="A34" t="s">
        <v>34</v>
      </c>
      <c r="B34">
        <v>1</v>
      </c>
      <c r="C34">
        <v>0</v>
      </c>
      <c r="D34">
        <f t="shared" si="0"/>
        <v>1</v>
      </c>
      <c r="E34" t="s">
        <v>39</v>
      </c>
      <c r="F34" t="s">
        <v>38</v>
      </c>
      <c r="G34" t="s">
        <v>40</v>
      </c>
      <c r="H34" s="1" t="str">
        <f t="shared" si="1"/>
        <v>https://cz.mouser.com/ProductDetail/Torex-Semiconductor/XC9285B33CMR-G?qs=dbcCsuKDzFUopNkosMcCjA%3D%3D</v>
      </c>
    </row>
    <row r="35" spans="1:8" x14ac:dyDescent="0.25">
      <c r="A35" t="s">
        <v>37</v>
      </c>
      <c r="B35">
        <v>1</v>
      </c>
      <c r="C35">
        <v>0</v>
      </c>
      <c r="D35">
        <f t="shared" si="0"/>
        <v>1</v>
      </c>
      <c r="E35" t="s">
        <v>85</v>
      </c>
      <c r="F35" t="s">
        <v>94</v>
      </c>
      <c r="G35" t="s">
        <v>106</v>
      </c>
      <c r="H35" s="1" t="str">
        <f t="shared" si="1"/>
        <v>https://cz.mouser.com/ProductDetail/Silicon-Labs/CP2104-F03-GMR?qs=1CB38rTTsYrRJKVkczeRzA%3D%3D</v>
      </c>
    </row>
    <row r="36" spans="1:8" x14ac:dyDescent="0.25">
      <c r="A36" t="s">
        <v>66</v>
      </c>
      <c r="B36">
        <v>2</v>
      </c>
      <c r="C36">
        <v>1</v>
      </c>
      <c r="D36">
        <f t="shared" si="0"/>
        <v>1</v>
      </c>
      <c r="E36" t="s">
        <v>35</v>
      </c>
      <c r="F36" t="s">
        <v>36</v>
      </c>
      <c r="G36" t="s">
        <v>107</v>
      </c>
      <c r="H36" s="1" t="str">
        <f t="shared" si="1"/>
        <v>https://cz.mouser.com/ProductDetail/STMicroelectronics/USBLC6-4SC6Y?qs=gNDSiZmRJS%252B5K%252Bxjl%252Bw9xw%3D%3D</v>
      </c>
    </row>
    <row r="38" spans="1:8" x14ac:dyDescent="0.25">
      <c r="A38" t="s">
        <v>68</v>
      </c>
      <c r="D38">
        <v>7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UWBkit_minimal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Koiš Christopher (240635)</cp:lastModifiedBy>
  <dcterms:created xsi:type="dcterms:W3CDTF">2025-10-15T15:47:29Z</dcterms:created>
  <dcterms:modified xsi:type="dcterms:W3CDTF">2026-02-28T15:17:23Z</dcterms:modified>
</cp:coreProperties>
</file>